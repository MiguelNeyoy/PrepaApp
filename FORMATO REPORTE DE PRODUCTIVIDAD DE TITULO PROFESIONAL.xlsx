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ranc\OneDrive\Documents\Git\APP Titulacion\"/>
    </mc:Choice>
  </mc:AlternateContent>
  <xr:revisionPtr revIDLastSave="0" documentId="13_ncr:1_{6B7ABC15-9033-4860-9097-C555DF31152D}" xr6:coauthVersionLast="47" xr6:coauthVersionMax="47" xr10:uidLastSave="{00000000-0000-0000-0000-000000000000}"/>
  <bookViews>
    <workbookView xWindow="9300" yWindow="2655" windowWidth="24840" windowHeight="19200" tabRatio="772" xr2:uid="{00000000-000D-0000-FFFF-FFFF00000000}"/>
  </bookViews>
  <sheets>
    <sheet name="22-23" sheetId="2" r:id="rId1"/>
    <sheet name="Mensual 22-2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" i="3" l="1"/>
  <c r="Z9" i="3"/>
  <c r="C7" i="3" l="1"/>
  <c r="E7" i="3"/>
  <c r="C8" i="3"/>
  <c r="E8" i="3"/>
  <c r="C9" i="3"/>
  <c r="E9" i="3"/>
  <c r="Y9" i="3"/>
  <c r="Y8" i="3"/>
  <c r="Y7" i="3"/>
  <c r="U9" i="3"/>
  <c r="U8" i="3"/>
  <c r="U7" i="3"/>
  <c r="Q9" i="3"/>
  <c r="Q8" i="3"/>
  <c r="Q7" i="3"/>
  <c r="M9" i="3"/>
  <c r="M8" i="3"/>
  <c r="M7" i="3"/>
  <c r="I9" i="3"/>
  <c r="I8" i="3"/>
  <c r="W9" i="3"/>
  <c r="W8" i="3"/>
  <c r="W7" i="3"/>
  <c r="S9" i="3"/>
  <c r="S8" i="3"/>
  <c r="S7" i="3"/>
  <c r="O9" i="3"/>
  <c r="O8" i="3"/>
  <c r="K9" i="3"/>
  <c r="K8" i="3"/>
  <c r="K7" i="3"/>
  <c r="G9" i="3"/>
  <c r="G8" i="3"/>
  <c r="N7" i="3"/>
  <c r="O7" i="3" s="1"/>
  <c r="H7" i="3"/>
  <c r="F7" i="3"/>
  <c r="AK8" i="2"/>
  <c r="AM8" i="2" s="1"/>
  <c r="AH8" i="2"/>
  <c r="AJ8" i="2" s="1"/>
  <c r="AE8" i="2"/>
  <c r="AG8" i="2" s="1"/>
  <c r="AB8" i="2"/>
  <c r="AD8" i="2" s="1"/>
  <c r="Y8" i="2"/>
  <c r="AA8" i="2" s="1"/>
  <c r="V8" i="2"/>
  <c r="X8" i="2" s="1"/>
  <c r="S8" i="2"/>
  <c r="U8" i="2" s="1"/>
  <c r="P8" i="2"/>
  <c r="R8" i="2" s="1"/>
  <c r="M8" i="2"/>
  <c r="O8" i="2" s="1"/>
  <c r="J8" i="2"/>
  <c r="L8" i="2" s="1"/>
  <c r="G8" i="2"/>
  <c r="I8" i="2" s="1"/>
  <c r="D8" i="2"/>
  <c r="F8" i="2" s="1"/>
  <c r="I7" i="3" l="1"/>
  <c r="Z7" i="3"/>
  <c r="G7" i="3"/>
  <c r="AA8" i="3"/>
  <c r="AA7" i="3"/>
  <c r="AA9" i="3"/>
  <c r="B10" i="3" l="1"/>
  <c r="W10" i="3"/>
  <c r="V10" i="3"/>
  <c r="U10" i="3"/>
  <c r="T10" i="3"/>
  <c r="F10" i="3"/>
  <c r="D10" i="3"/>
  <c r="E10" i="3"/>
  <c r="P10" i="3"/>
  <c r="Q10" i="3"/>
  <c r="X10" i="3"/>
  <c r="Y10" i="3"/>
  <c r="G10" i="3"/>
  <c r="R10" i="3"/>
  <c r="S10" i="3"/>
  <c r="N10" i="3"/>
  <c r="O10" i="3"/>
  <c r="I10" i="3"/>
  <c r="L10" i="3"/>
  <c r="M10" i="3"/>
  <c r="H10" i="3"/>
  <c r="J10" i="3"/>
  <c r="C10" i="3"/>
  <c r="Z10" i="3" l="1"/>
  <c r="AA10" i="3"/>
  <c r="K10" i="3"/>
  <c r="N8" i="2" l="1"/>
  <c r="W8" i="2"/>
  <c r="H8" i="2"/>
  <c r="AL8" i="2"/>
  <c r="K8" i="2"/>
  <c r="Z8" i="2"/>
  <c r="T8" i="2"/>
  <c r="AI8" i="2"/>
  <c r="E8" i="2"/>
  <c r="Q8" i="2"/>
  <c r="AC8" i="2"/>
  <c r="AF8" i="2"/>
</calcChain>
</file>

<file path=xl/sharedStrings.xml><?xml version="1.0" encoding="utf-8"?>
<sst xmlns="http://schemas.openxmlformats.org/spreadsheetml/2006/main" count="90" uniqueCount="42">
  <si>
    <t>CLAVE</t>
  </si>
  <si>
    <t>UNIDAD ACADÉMICA</t>
  </si>
  <si>
    <t>PROGRAMA EDUCATIVO</t>
  </si>
  <si>
    <t>AGOSTO</t>
  </si>
  <si>
    <t>SEPTIEMBRE</t>
  </si>
  <si>
    <t>OCTUBRE</t>
  </si>
  <si>
    <t>NOVIEMBRE</t>
  </si>
  <si>
    <t>DICIEMBRE</t>
  </si>
  <si>
    <t>COORDINACIÓN DE SERVICIOS ESCOLARES SUR</t>
  </si>
  <si>
    <t>REPORTE DE PRODUCTIVIDAD MENSUAL DE TRÁMITE DE TÍTULO PROFESIONAL</t>
  </si>
  <si>
    <t>CICLO ESCOLAR 2022-2023</t>
  </si>
  <si>
    <t>TOTAL TRÁMITES</t>
  </si>
  <si>
    <t>TOTAL INGRESOS $</t>
  </si>
  <si>
    <t>ENERO</t>
  </si>
  <si>
    <t>FEBRERO</t>
  </si>
  <si>
    <t>MARZO</t>
  </si>
  <si>
    <t>ABRIL</t>
  </si>
  <si>
    <t>MAYO</t>
  </si>
  <si>
    <t>JUNIO</t>
  </si>
  <si>
    <t>JULIO</t>
  </si>
  <si>
    <t>REPORTE MENSUAL DE RECEPCIÓN DE TRÁMITES DE TÍTULO PROFESIONAL</t>
  </si>
  <si>
    <t>CICLO 2022-2023</t>
  </si>
  <si>
    <t>AGO</t>
  </si>
  <si>
    <t>SEP</t>
  </si>
  <si>
    <t>OCT</t>
  </si>
  <si>
    <t>NOV</t>
  </si>
  <si>
    <t>DIC</t>
  </si>
  <si>
    <t>ENE</t>
  </si>
  <si>
    <t>FEB</t>
  </si>
  <si>
    <t>MAR</t>
  </si>
  <si>
    <t>ABR</t>
  </si>
  <si>
    <t>MAY</t>
  </si>
  <si>
    <t>JUN</t>
  </si>
  <si>
    <t>JUL</t>
  </si>
  <si>
    <t>NIVEL</t>
  </si>
  <si>
    <t>Total</t>
  </si>
  <si>
    <t>Ingreso</t>
  </si>
  <si>
    <t>TOTAL</t>
  </si>
  <si>
    <t>INGRESO</t>
  </si>
  <si>
    <t>Licenciatura</t>
  </si>
  <si>
    <t>Maestría</t>
  </si>
  <si>
    <t>Doctorado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</si>
</sst>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BFCD4"/>
        <bgColor indexed="64"/>
      </patternFill>
    </fill>
    <fill>
      <patternFill patternType="solid">
        <fgColor rgb="FFE5F5F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691B5A"/>
        <bgColor indexed="64"/>
      </patternFill>
    </fill>
    <fill>
      <patternFill patternType="solid">
        <fgColor rgb="FFF81858"/>
        <bgColor indexed="64"/>
      </patternFill>
    </fill>
    <fill>
      <patternFill patternType="solid">
        <fgColor rgb="FFACBD0F"/>
        <bgColor indexed="64"/>
      </patternFill>
    </fill>
    <fill>
      <patternFill patternType="solid">
        <fgColor rgb="FFAA121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0" xfId="0" applyAlignment="1">
      <alignment horizontal="left"/>
    </xf>
    <xf numFmtId="44" fontId="2" fillId="0" borderId="0" xfId="1" applyFont="1" applyAlignment="1">
      <alignment horizontal="center"/>
    </xf>
    <xf numFmtId="0" fontId="0" fillId="10" borderId="0" xfId="0" applyFill="1"/>
    <xf numFmtId="0" fontId="0" fillId="0" borderId="0" xfId="0" applyAlignment="1">
      <alignment wrapText="1"/>
    </xf>
    <xf numFmtId="0" fontId="7" fillId="0" borderId="0" xfId="0" applyFont="1" applyAlignment="1">
      <alignment horizontal="center"/>
    </xf>
    <xf numFmtId="44" fontId="0" fillId="14" borderId="1" xfId="1" applyFont="1" applyFill="1" applyBorder="1" applyAlignment="1">
      <alignment horizontal="center"/>
    </xf>
    <xf numFmtId="44" fontId="0" fillId="15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 vertical="center" wrapText="1"/>
    </xf>
    <xf numFmtId="0" fontId="7" fillId="10" borderId="1" xfId="0" applyFont="1" applyFill="1" applyBorder="1"/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8" fillId="11" borderId="1" xfId="0" applyFont="1" applyFill="1" applyBorder="1" applyAlignment="1">
      <alignment horizontal="right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44" fontId="8" fillId="11" borderId="1" xfId="1" applyFont="1" applyFill="1" applyBorder="1" applyAlignment="1">
      <alignment horizontal="center" vertical="center"/>
    </xf>
    <xf numFmtId="44" fontId="8" fillId="11" borderId="1" xfId="1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44" fontId="0" fillId="3" borderId="1" xfId="0" applyNumberFormat="1" applyFill="1" applyBorder="1" applyAlignment="1">
      <alignment horizontal="center"/>
    </xf>
    <xf numFmtId="44" fontId="0" fillId="4" borderId="1" xfId="0" applyNumberFormat="1" applyFill="1" applyBorder="1" applyAlignment="1">
      <alignment horizontal="center"/>
    </xf>
    <xf numFmtId="44" fontId="2" fillId="3" borderId="1" xfId="1" applyFont="1" applyFill="1" applyBorder="1"/>
    <xf numFmtId="0" fontId="3" fillId="6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0" xfId="0" applyFont="1"/>
    <xf numFmtId="0" fontId="3" fillId="8" borderId="0" xfId="0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0" fillId="0" borderId="1" xfId="0" applyBorder="1"/>
    <xf numFmtId="0" fontId="3" fillId="2" borderId="6" xfId="0" applyFont="1" applyFill="1" applyBorder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6" fillId="16" borderId="6" xfId="0" applyFont="1" applyFill="1" applyBorder="1" applyAlignment="1">
      <alignment horizontal="center" vertical="center" wrapText="1"/>
    </xf>
    <xf numFmtId="0" fontId="6" fillId="16" borderId="7" xfId="0" applyFont="1" applyFill="1" applyBorder="1" applyAlignment="1">
      <alignment horizontal="center" vertical="center" wrapText="1"/>
    </xf>
    <xf numFmtId="0" fontId="6" fillId="17" borderId="6" xfId="0" applyFont="1" applyFill="1" applyBorder="1" applyAlignment="1">
      <alignment horizontal="center" vertical="center" wrapText="1"/>
    </xf>
    <xf numFmtId="0" fontId="6" fillId="17" borderId="7" xfId="0" applyFont="1" applyFill="1" applyBorder="1" applyAlignment="1">
      <alignment horizontal="center" vertical="center" wrapText="1"/>
    </xf>
    <xf numFmtId="0" fontId="6" fillId="18" borderId="6" xfId="0" applyFont="1" applyFill="1" applyBorder="1" applyAlignment="1">
      <alignment horizontal="center" vertical="center" wrapText="1"/>
    </xf>
    <xf numFmtId="0" fontId="6" fillId="18" borderId="7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12" borderId="6" xfId="0" applyFont="1" applyFill="1" applyBorder="1" applyAlignment="1">
      <alignment horizontal="center" vertical="center" wrapText="1"/>
    </xf>
    <xf numFmtId="0" fontId="6" fillId="12" borderId="7" xfId="0" applyFont="1" applyFill="1" applyBorder="1" applyAlignment="1">
      <alignment horizontal="center" vertical="center" wrapText="1"/>
    </xf>
    <xf numFmtId="0" fontId="6" fillId="9" borderId="6" xfId="0" applyFont="1" applyFill="1" applyBorder="1" applyAlignment="1">
      <alignment horizontal="center" vertical="center" wrapText="1"/>
    </xf>
    <xf numFmtId="0" fontId="6" fillId="9" borderId="7" xfId="0" applyFont="1" applyFill="1" applyBorder="1" applyAlignment="1">
      <alignment horizontal="center" vertical="center" wrapText="1"/>
    </xf>
    <xf numFmtId="0" fontId="6" fillId="19" borderId="6" xfId="0" applyFont="1" applyFill="1" applyBorder="1" applyAlignment="1">
      <alignment horizontal="center" vertical="center" wrapText="1"/>
    </xf>
    <xf numFmtId="0" fontId="6" fillId="19" borderId="7" xfId="0" applyFont="1" applyFill="1" applyBorder="1" applyAlignment="1">
      <alignment horizontal="center" vertical="center" wrapText="1"/>
    </xf>
    <xf numFmtId="0" fontId="6" fillId="20" borderId="6" xfId="0" applyFont="1" applyFill="1" applyBorder="1" applyAlignment="1">
      <alignment horizontal="center" vertical="center" wrapText="1"/>
    </xf>
    <xf numFmtId="0" fontId="6" fillId="20" borderId="7" xfId="0" applyFont="1" applyFill="1" applyBorder="1" applyAlignment="1">
      <alignment horizontal="center" vertical="center" wrapText="1"/>
    </xf>
    <xf numFmtId="0" fontId="6" fillId="21" borderId="6" xfId="0" applyFont="1" applyFill="1" applyBorder="1" applyAlignment="1">
      <alignment horizontal="center" vertical="center" wrapText="1"/>
    </xf>
    <xf numFmtId="0" fontId="6" fillId="21" borderId="7" xfId="0" applyFont="1" applyFill="1" applyBorder="1" applyAlignment="1">
      <alignment horizontal="center" vertical="center" wrapText="1"/>
    </xf>
    <xf numFmtId="0" fontId="6" fillId="22" borderId="6" xfId="0" applyFont="1" applyFill="1" applyBorder="1" applyAlignment="1">
      <alignment horizontal="center" vertical="center" wrapText="1"/>
    </xf>
    <xf numFmtId="0" fontId="6" fillId="22" borderId="7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</cellXfs>
  <cellStyles count="3">
    <cellStyle name="Moneda" xfId="1" builtinId="4"/>
    <cellStyle name="Moneda 2" xfId="2" xr:uid="{00000000-0005-0000-0000-000001000000}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59"/>
  <sheetViews>
    <sheetView tabSelected="1" topLeftCell="W1" zoomScaleNormal="100" workbookViewId="0">
      <pane ySplit="5" topLeftCell="A6" activePane="bottomLeft" state="frozen"/>
      <selection pane="bottomLeft" activeCell="AO13" sqref="AO13"/>
    </sheetView>
  </sheetViews>
  <sheetFormatPr baseColWidth="10" defaultRowHeight="15" x14ac:dyDescent="0.25"/>
  <cols>
    <col min="1" max="1" width="8" customWidth="1"/>
    <col min="2" max="2" width="38.5703125" customWidth="1"/>
    <col min="3" max="3" width="56.5703125" bestFit="1" customWidth="1"/>
    <col min="4" max="4" width="9.42578125" bestFit="1" customWidth="1"/>
    <col min="5" max="5" width="16.28515625" customWidth="1"/>
    <col min="6" max="6" width="5.42578125" customWidth="1"/>
    <col min="7" max="7" width="9.42578125" bestFit="1" customWidth="1"/>
    <col min="8" max="8" width="16.28515625" bestFit="1" customWidth="1"/>
    <col min="9" max="9" width="7" customWidth="1"/>
    <col min="10" max="10" width="9.42578125" bestFit="1" customWidth="1"/>
    <col min="11" max="11" width="16.28515625" bestFit="1" customWidth="1"/>
    <col min="12" max="12" width="5.5703125" customWidth="1"/>
    <col min="13" max="13" width="9.42578125" bestFit="1" customWidth="1"/>
    <col min="14" max="14" width="16.28515625" bestFit="1" customWidth="1"/>
    <col min="15" max="15" width="6.5703125" customWidth="1"/>
    <col min="16" max="16" width="9.42578125" bestFit="1" customWidth="1"/>
    <col min="17" max="17" width="16.28515625" bestFit="1" customWidth="1"/>
    <col min="18" max="18" width="5.42578125" customWidth="1"/>
    <col min="19" max="19" width="9.42578125" bestFit="1" customWidth="1"/>
    <col min="20" max="20" width="16.28515625" bestFit="1" customWidth="1"/>
    <col min="21" max="21" width="3.7109375" customWidth="1"/>
    <col min="22" max="22" width="9.42578125" bestFit="1" customWidth="1"/>
    <col min="23" max="23" width="16.28515625" bestFit="1" customWidth="1"/>
    <col min="24" max="24" width="7.5703125" customWidth="1"/>
    <col min="25" max="25" width="9.42578125" bestFit="1" customWidth="1"/>
    <col min="26" max="26" width="16.28515625" bestFit="1" customWidth="1"/>
    <col min="27" max="27" width="5.42578125" customWidth="1"/>
    <col min="28" max="28" width="9.42578125" bestFit="1" customWidth="1"/>
    <col min="29" max="29" width="16.28515625" bestFit="1" customWidth="1"/>
    <col min="30" max="30" width="7.140625" customWidth="1"/>
    <col min="31" max="31" width="9.42578125" bestFit="1" customWidth="1"/>
    <col min="32" max="32" width="16.28515625" bestFit="1" customWidth="1"/>
    <col min="33" max="33" width="4.140625" customWidth="1"/>
    <col min="35" max="35" width="13.5703125" customWidth="1"/>
    <col min="36" max="36" width="4.7109375" customWidth="1"/>
    <col min="38" max="38" width="12.28515625" bestFit="1" customWidth="1"/>
    <col min="39" max="39" width="4.140625" customWidth="1"/>
    <col min="40" max="40" width="15.140625" customWidth="1"/>
  </cols>
  <sheetData>
    <row r="1" spans="1:41" ht="15.75" x14ac:dyDescent="0.25">
      <c r="A1" s="45" t="s">
        <v>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41" ht="15.75" x14ac:dyDescent="0.25">
      <c r="A2" s="45" t="s">
        <v>9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41" x14ac:dyDescent="0.25">
      <c r="A3" s="46" t="s">
        <v>10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2"/>
      <c r="U3" s="2"/>
      <c r="X3" s="2"/>
      <c r="AA3" s="2"/>
      <c r="AD3" s="2"/>
      <c r="AG3" s="2"/>
      <c r="AJ3" s="2"/>
      <c r="AM3" s="2"/>
    </row>
    <row r="4" spans="1:41" x14ac:dyDescent="0.25">
      <c r="A4" s="2"/>
      <c r="B4" s="5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U4" s="2"/>
      <c r="X4" s="2"/>
      <c r="AA4" s="2"/>
      <c r="AD4" s="2"/>
      <c r="AG4" s="2"/>
      <c r="AJ4" s="2"/>
      <c r="AM4" s="2"/>
    </row>
    <row r="5" spans="1:41" x14ac:dyDescent="0.25">
      <c r="D5" s="47" t="s">
        <v>3</v>
      </c>
      <c r="E5" s="48"/>
      <c r="F5" s="22"/>
      <c r="G5" s="49" t="s">
        <v>4</v>
      </c>
      <c r="H5" s="50"/>
      <c r="I5" s="39"/>
      <c r="J5" s="51" t="s">
        <v>5</v>
      </c>
      <c r="K5" s="51"/>
      <c r="L5" s="37"/>
      <c r="M5" s="52" t="s">
        <v>6</v>
      </c>
      <c r="N5" s="52"/>
      <c r="O5" s="40"/>
      <c r="P5" s="53" t="s">
        <v>7</v>
      </c>
      <c r="Q5" s="53"/>
      <c r="R5" s="41"/>
      <c r="S5" s="56" t="s">
        <v>13</v>
      </c>
      <c r="T5" s="57"/>
      <c r="U5" s="40"/>
      <c r="V5" s="58" t="s">
        <v>14</v>
      </c>
      <c r="W5" s="53"/>
      <c r="X5" s="30"/>
      <c r="Y5" s="56" t="s">
        <v>15</v>
      </c>
      <c r="Z5" s="57"/>
      <c r="AA5" s="40"/>
      <c r="AB5" s="54" t="s">
        <v>16</v>
      </c>
      <c r="AC5" s="55"/>
      <c r="AD5" s="30"/>
      <c r="AE5" s="52" t="s">
        <v>17</v>
      </c>
      <c r="AF5" s="52"/>
      <c r="AG5" s="40"/>
      <c r="AH5" s="55" t="s">
        <v>18</v>
      </c>
      <c r="AI5" s="55"/>
      <c r="AJ5" s="30"/>
      <c r="AK5" s="52" t="s">
        <v>19</v>
      </c>
      <c r="AL5" s="52"/>
      <c r="AM5" s="40"/>
    </row>
    <row r="6" spans="1:41" ht="36" customHeight="1" x14ac:dyDescent="0.25">
      <c r="A6" s="1" t="s">
        <v>0</v>
      </c>
      <c r="B6" s="1" t="s">
        <v>1</v>
      </c>
      <c r="C6" s="1" t="s">
        <v>2</v>
      </c>
      <c r="D6" s="1" t="s">
        <v>11</v>
      </c>
      <c r="E6" s="1" t="s">
        <v>12</v>
      </c>
      <c r="F6" s="1"/>
      <c r="G6" s="1" t="s">
        <v>11</v>
      </c>
      <c r="H6" s="1" t="s">
        <v>12</v>
      </c>
      <c r="I6" s="38"/>
      <c r="J6" s="38" t="s">
        <v>11</v>
      </c>
      <c r="K6" s="38" t="s">
        <v>12</v>
      </c>
      <c r="L6" s="38"/>
      <c r="M6" s="1" t="s">
        <v>11</v>
      </c>
      <c r="N6" s="1" t="s">
        <v>12</v>
      </c>
      <c r="O6" s="38"/>
      <c r="P6" s="1" t="s">
        <v>11</v>
      </c>
      <c r="Q6" s="1" t="s">
        <v>12</v>
      </c>
      <c r="R6" s="1"/>
      <c r="S6" s="1" t="s">
        <v>11</v>
      </c>
      <c r="T6" s="1" t="s">
        <v>12</v>
      </c>
      <c r="U6" s="1"/>
      <c r="V6" s="1" t="s">
        <v>11</v>
      </c>
      <c r="W6" s="1" t="s">
        <v>12</v>
      </c>
      <c r="X6" s="1"/>
      <c r="Y6" s="1" t="s">
        <v>11</v>
      </c>
      <c r="Z6" s="1" t="s">
        <v>12</v>
      </c>
      <c r="AA6" s="1"/>
      <c r="AB6" s="1" t="s">
        <v>11</v>
      </c>
      <c r="AC6" s="1" t="s">
        <v>12</v>
      </c>
      <c r="AD6" s="38"/>
      <c r="AE6" s="1" t="s">
        <v>11</v>
      </c>
      <c r="AF6" s="1" t="s">
        <v>12</v>
      </c>
      <c r="AG6" s="38"/>
      <c r="AH6" s="1" t="s">
        <v>11</v>
      </c>
      <c r="AI6" s="1" t="s">
        <v>12</v>
      </c>
      <c r="AJ6" s="38"/>
      <c r="AK6" s="38" t="s">
        <v>11</v>
      </c>
      <c r="AL6" s="38" t="s">
        <v>12</v>
      </c>
      <c r="AM6" s="43"/>
      <c r="AN6" s="84" t="s">
        <v>37</v>
      </c>
      <c r="AO6" s="44" t="s">
        <v>38</v>
      </c>
    </row>
    <row r="7" spans="1:41" ht="15.95" customHeight="1" x14ac:dyDescent="0.25">
      <c r="A7" s="35"/>
      <c r="B7" s="34"/>
      <c r="C7" s="31"/>
      <c r="D7" s="32"/>
      <c r="E7" s="32"/>
      <c r="F7" s="33"/>
      <c r="G7" s="32"/>
      <c r="H7" s="32"/>
      <c r="I7" s="33"/>
      <c r="J7" s="32"/>
      <c r="K7" s="32"/>
      <c r="L7" s="33"/>
      <c r="M7" s="32"/>
      <c r="N7" s="32"/>
      <c r="O7" s="33"/>
      <c r="P7" s="32"/>
      <c r="Q7" s="32"/>
      <c r="R7" s="33"/>
      <c r="S7" s="32"/>
      <c r="T7" s="32"/>
      <c r="U7" s="33"/>
      <c r="V7" s="32"/>
      <c r="W7" s="32"/>
      <c r="X7" s="33"/>
      <c r="Y7" s="32"/>
      <c r="Z7" s="32"/>
      <c r="AA7" s="33"/>
      <c r="AB7" s="32"/>
      <c r="AC7" s="32"/>
      <c r="AD7" s="33"/>
      <c r="AE7" s="32"/>
      <c r="AF7" s="32"/>
      <c r="AG7" s="33"/>
      <c r="AH7" s="32"/>
      <c r="AI7" s="32"/>
      <c r="AJ7" s="33"/>
      <c r="AK7" s="32"/>
      <c r="AL7" s="32"/>
      <c r="AM7" s="25"/>
      <c r="AN7" s="42"/>
      <c r="AO7" s="42"/>
    </row>
    <row r="8" spans="1:41" ht="15.95" customHeight="1" x14ac:dyDescent="0.25">
      <c r="D8">
        <f>SUM(D7:D7)</f>
        <v>0</v>
      </c>
      <c r="E8" s="6">
        <f>SUM(E7:E7)</f>
        <v>0</v>
      </c>
      <c r="F8" s="25">
        <f>D8</f>
        <v>0</v>
      </c>
      <c r="G8">
        <f>SUM(G7:G7)</f>
        <v>0</v>
      </c>
      <c r="H8" s="6">
        <f>SUM(H7:H7)</f>
        <v>0</v>
      </c>
      <c r="I8" s="25">
        <f>G8</f>
        <v>0</v>
      </c>
      <c r="J8">
        <f>SUM(J7:J7)</f>
        <v>0</v>
      </c>
      <c r="K8" s="6">
        <f>SUM(K7:K7)</f>
        <v>0</v>
      </c>
      <c r="L8" s="25">
        <f>J8</f>
        <v>0</v>
      </c>
      <c r="M8">
        <f>SUM(M7:M7)</f>
        <v>0</v>
      </c>
      <c r="N8" s="6">
        <f>SUM(N7:N7)</f>
        <v>0</v>
      </c>
      <c r="O8" s="25">
        <f>M8</f>
        <v>0</v>
      </c>
      <c r="P8">
        <f>SUM(P7:P7)</f>
        <v>0</v>
      </c>
      <c r="Q8" s="6">
        <f>SUM(Q7:Q7)</f>
        <v>0</v>
      </c>
      <c r="R8" s="25">
        <f>P8</f>
        <v>0</v>
      </c>
      <c r="S8">
        <f>SUM(S7:S7)</f>
        <v>0</v>
      </c>
      <c r="T8" s="6">
        <f>SUM(T7:T7)</f>
        <v>0</v>
      </c>
      <c r="U8" s="25">
        <f>S8</f>
        <v>0</v>
      </c>
      <c r="V8">
        <f>SUM(V7:V7)</f>
        <v>0</v>
      </c>
      <c r="W8" s="6">
        <f>SUM(W7:W7)</f>
        <v>0</v>
      </c>
      <c r="X8" s="25">
        <f>V8</f>
        <v>0</v>
      </c>
      <c r="Y8">
        <f>SUM(Y7:Y7)</f>
        <v>0</v>
      </c>
      <c r="Z8" s="6">
        <f>SUM(Z7:Z7)</f>
        <v>0</v>
      </c>
      <c r="AA8" s="25">
        <f>Y8</f>
        <v>0</v>
      </c>
      <c r="AB8">
        <f>SUM(AB7:AB7)</f>
        <v>0</v>
      </c>
      <c r="AC8" s="6">
        <f>SUM(AC7:AC7)</f>
        <v>0</v>
      </c>
      <c r="AD8" s="25">
        <f>AB8</f>
        <v>0</v>
      </c>
      <c r="AE8">
        <f>SUM(AE7:AE7)</f>
        <v>0</v>
      </c>
      <c r="AF8" s="6">
        <f>SUM(AF7:AF7)</f>
        <v>0</v>
      </c>
      <c r="AG8" s="25">
        <f>AE8</f>
        <v>0</v>
      </c>
      <c r="AH8">
        <f>SUM(AH7:AH7)</f>
        <v>0</v>
      </c>
      <c r="AI8" s="6">
        <f>SUM(AI7:AI7)</f>
        <v>0</v>
      </c>
      <c r="AJ8" s="25">
        <f>AH8</f>
        <v>0</v>
      </c>
      <c r="AK8">
        <f>SUM(AK7:AK7)</f>
        <v>0</v>
      </c>
      <c r="AL8" s="6">
        <f>SUM(AL7:AL7)</f>
        <v>0</v>
      </c>
      <c r="AM8" s="25">
        <f>AK8</f>
        <v>0</v>
      </c>
    </row>
    <row r="9" spans="1:41" ht="15.95" customHeight="1" x14ac:dyDescent="0.25">
      <c r="F9" s="6"/>
      <c r="I9" s="6"/>
      <c r="L9" s="6"/>
      <c r="O9" s="6"/>
      <c r="R9" s="6"/>
      <c r="U9" s="6"/>
      <c r="X9" s="6"/>
      <c r="AA9" s="6"/>
      <c r="AD9" s="6"/>
      <c r="AG9" s="6"/>
      <c r="AJ9" s="6"/>
      <c r="AM9" s="6"/>
    </row>
    <row r="10" spans="1:41" ht="15.95" customHeight="1" x14ac:dyDescent="0.25"/>
    <row r="11" spans="1:41" ht="15.95" customHeight="1" x14ac:dyDescent="0.25">
      <c r="C11" s="26"/>
    </row>
    <row r="12" spans="1:41" ht="15.95" customHeight="1" x14ac:dyDescent="0.25">
      <c r="C12" s="26"/>
    </row>
    <row r="13" spans="1:41" ht="31.5" customHeight="1" x14ac:dyDescent="0.25">
      <c r="C13" s="26"/>
    </row>
    <row r="14" spans="1:41" ht="15.95" customHeight="1" x14ac:dyDescent="0.25">
      <c r="C14" s="26"/>
    </row>
    <row r="15" spans="1:41" ht="15.95" customHeight="1" x14ac:dyDescent="0.25">
      <c r="C15" s="26"/>
    </row>
    <row r="16" spans="1:41" ht="15.95" customHeight="1" x14ac:dyDescent="0.25">
      <c r="C16" s="26"/>
    </row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spans="3:3" ht="15.95" customHeight="1" x14ac:dyDescent="0.25"/>
    <row r="34" spans="3:3" ht="28.5" customHeight="1" x14ac:dyDescent="0.25"/>
    <row r="35" spans="3:3" ht="15.95" customHeight="1" x14ac:dyDescent="0.25"/>
    <row r="36" spans="3:3" ht="15.95" customHeight="1" x14ac:dyDescent="0.25"/>
    <row r="37" spans="3:3" ht="15.95" customHeight="1" x14ac:dyDescent="0.25"/>
    <row r="38" spans="3:3" ht="15.95" customHeight="1" x14ac:dyDescent="0.25"/>
    <row r="39" spans="3:3" ht="15.95" customHeight="1" x14ac:dyDescent="0.25"/>
    <row r="40" spans="3:3" ht="15.95" customHeight="1" x14ac:dyDescent="0.25"/>
    <row r="41" spans="3:3" ht="15.95" customHeight="1" x14ac:dyDescent="0.25">
      <c r="C41" s="36"/>
    </row>
    <row r="42" spans="3:3" ht="15.95" customHeight="1" x14ac:dyDescent="0.25"/>
    <row r="43" spans="3:3" ht="30.75" customHeight="1" x14ac:dyDescent="0.25"/>
    <row r="44" spans="3:3" ht="15.95" customHeight="1" x14ac:dyDescent="0.25"/>
    <row r="45" spans="3:3" ht="15.95" customHeight="1" x14ac:dyDescent="0.25"/>
    <row r="46" spans="3:3" ht="15.95" customHeight="1" x14ac:dyDescent="0.25"/>
    <row r="47" spans="3:3" ht="20.25" customHeight="1" x14ac:dyDescent="0.25"/>
    <row r="48" spans="3:3" ht="20.25" customHeight="1" x14ac:dyDescent="0.25"/>
    <row r="49" spans="1:43" ht="15.95" customHeight="1" x14ac:dyDescent="0.25"/>
    <row r="50" spans="1:43" ht="15.95" customHeight="1" x14ac:dyDescent="0.25"/>
    <row r="51" spans="1:43" ht="15.95" customHeight="1" x14ac:dyDescent="0.25"/>
    <row r="52" spans="1:43" ht="15.95" customHeight="1" x14ac:dyDescent="0.25"/>
    <row r="53" spans="1:43" ht="15.95" customHeight="1" x14ac:dyDescent="0.25"/>
    <row r="55" spans="1:43" s="7" customFormat="1" ht="15.95" customHeight="1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</row>
    <row r="56" spans="1:43" s="7" customFormat="1" ht="15.95" customHeigh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</row>
    <row r="57" spans="1:43" s="7" customFormat="1" ht="15.95" customHeight="1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</row>
    <row r="58" spans="1:43" ht="15.95" customHeight="1" x14ac:dyDescent="0.25"/>
    <row r="59" spans="1:43" ht="15.95" customHeight="1" x14ac:dyDescent="0.25"/>
  </sheetData>
  <mergeCells count="15">
    <mergeCell ref="AK5:AL5"/>
    <mergeCell ref="AB5:AC5"/>
    <mergeCell ref="AE5:AF5"/>
    <mergeCell ref="AH5:AI5"/>
    <mergeCell ref="S5:T5"/>
    <mergeCell ref="V5:W5"/>
    <mergeCell ref="Y5:Z5"/>
    <mergeCell ref="A1:P1"/>
    <mergeCell ref="A2:P2"/>
    <mergeCell ref="A3:Q3"/>
    <mergeCell ref="D5:E5"/>
    <mergeCell ref="G5:H5"/>
    <mergeCell ref="J5:K5"/>
    <mergeCell ref="M5:N5"/>
    <mergeCell ref="P5:Q5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"/>
  <sheetViews>
    <sheetView zoomScale="90" zoomScaleNormal="90" workbookViewId="0">
      <selection activeCell="C14" sqref="C14"/>
    </sheetView>
  </sheetViews>
  <sheetFormatPr baseColWidth="10" defaultRowHeight="15" x14ac:dyDescent="0.25"/>
  <cols>
    <col min="1" max="1" width="29.140625" bestFit="1" customWidth="1"/>
    <col min="2" max="2" width="5.28515625" customWidth="1"/>
    <col min="3" max="3" width="13.85546875" bestFit="1" customWidth="1"/>
    <col min="4" max="4" width="5.42578125" bestFit="1" customWidth="1"/>
    <col min="5" max="5" width="13.85546875" bestFit="1" customWidth="1"/>
    <col min="6" max="6" width="5.42578125" bestFit="1" customWidth="1"/>
    <col min="7" max="7" width="13.85546875" bestFit="1" customWidth="1"/>
    <col min="8" max="8" width="5.42578125" bestFit="1" customWidth="1"/>
    <col min="9" max="9" width="13.85546875" bestFit="1" customWidth="1"/>
    <col min="10" max="10" width="15.42578125" customWidth="1"/>
    <col min="11" max="11" width="13.85546875" bestFit="1" customWidth="1"/>
    <col min="12" max="12" width="11.140625" customWidth="1"/>
    <col min="13" max="13" width="13.85546875" bestFit="1" customWidth="1"/>
    <col min="14" max="14" width="5.42578125" bestFit="1" customWidth="1"/>
    <col min="15" max="15" width="13.85546875" bestFit="1" customWidth="1"/>
    <col min="16" max="16" width="5.42578125" bestFit="1" customWidth="1"/>
    <col min="17" max="17" width="13.85546875" bestFit="1" customWidth="1"/>
    <col min="18" max="18" width="5.42578125" bestFit="1" customWidth="1"/>
    <col min="19" max="19" width="13.85546875" bestFit="1" customWidth="1"/>
    <col min="20" max="20" width="5.42578125" bestFit="1" customWidth="1"/>
    <col min="21" max="21" width="13.85546875" bestFit="1" customWidth="1"/>
    <col min="22" max="22" width="5.42578125" bestFit="1" customWidth="1"/>
    <col min="23" max="23" width="13.85546875" bestFit="1" customWidth="1"/>
    <col min="24" max="24" width="5.42578125" bestFit="1" customWidth="1"/>
    <col min="25" max="25" width="12.7109375" bestFit="1" customWidth="1"/>
    <col min="27" max="27" width="15.28515625" bestFit="1" customWidth="1"/>
  </cols>
  <sheetData>
    <row r="1" spans="1:27" ht="15.75" x14ac:dyDescent="0.25">
      <c r="A1" s="45" t="s">
        <v>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7" ht="15.75" x14ac:dyDescent="0.25">
      <c r="A2" s="45" t="s">
        <v>20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7" x14ac:dyDescent="0.25">
      <c r="A3" s="46" t="s">
        <v>21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5" spans="1:27" x14ac:dyDescent="0.25">
      <c r="B5" s="74" t="s">
        <v>22</v>
      </c>
      <c r="C5" s="75"/>
      <c r="D5" s="76" t="s">
        <v>23</v>
      </c>
      <c r="E5" s="77"/>
      <c r="F5" s="78" t="s">
        <v>24</v>
      </c>
      <c r="G5" s="79"/>
      <c r="H5" s="80" t="s">
        <v>25</v>
      </c>
      <c r="I5" s="81"/>
      <c r="J5" s="82" t="s">
        <v>26</v>
      </c>
      <c r="K5" s="83"/>
      <c r="L5" s="62" t="s">
        <v>27</v>
      </c>
      <c r="M5" s="63"/>
      <c r="N5" s="64" t="s">
        <v>28</v>
      </c>
      <c r="O5" s="65"/>
      <c r="P5" s="66" t="s">
        <v>29</v>
      </c>
      <c r="Q5" s="67"/>
      <c r="R5" s="68" t="s">
        <v>30</v>
      </c>
      <c r="S5" s="69"/>
      <c r="T5" s="70" t="s">
        <v>31</v>
      </c>
      <c r="U5" s="71"/>
      <c r="V5" s="72" t="s">
        <v>32</v>
      </c>
      <c r="W5" s="73"/>
      <c r="X5" s="59" t="s">
        <v>33</v>
      </c>
      <c r="Y5" s="60"/>
    </row>
    <row r="6" spans="1:27" x14ac:dyDescent="0.25">
      <c r="A6" s="13" t="s">
        <v>34</v>
      </c>
      <c r="B6" s="13" t="s">
        <v>35</v>
      </c>
      <c r="C6" s="13" t="s">
        <v>36</v>
      </c>
      <c r="D6" s="13" t="s">
        <v>35</v>
      </c>
      <c r="E6" s="13" t="s">
        <v>36</v>
      </c>
      <c r="F6" s="13" t="s">
        <v>35</v>
      </c>
      <c r="G6" s="13" t="s">
        <v>36</v>
      </c>
      <c r="H6" s="13" t="s">
        <v>35</v>
      </c>
      <c r="I6" s="13" t="s">
        <v>36</v>
      </c>
      <c r="J6" s="13" t="s">
        <v>35</v>
      </c>
      <c r="K6" s="13" t="s">
        <v>36</v>
      </c>
      <c r="L6" s="13" t="s">
        <v>35</v>
      </c>
      <c r="M6" s="13" t="s">
        <v>36</v>
      </c>
      <c r="N6" s="13" t="s">
        <v>35</v>
      </c>
      <c r="O6" s="13" t="s">
        <v>36</v>
      </c>
      <c r="P6" s="13" t="s">
        <v>35</v>
      </c>
      <c r="Q6" s="13" t="s">
        <v>36</v>
      </c>
      <c r="R6" s="13" t="s">
        <v>35</v>
      </c>
      <c r="S6" s="13" t="s">
        <v>36</v>
      </c>
      <c r="T6" s="13" t="s">
        <v>35</v>
      </c>
      <c r="U6" s="13" t="s">
        <v>36</v>
      </c>
      <c r="V6" s="13" t="s">
        <v>35</v>
      </c>
      <c r="W6" s="13" t="s">
        <v>36</v>
      </c>
      <c r="X6" s="13" t="s">
        <v>35</v>
      </c>
      <c r="Y6" s="13" t="s">
        <v>36</v>
      </c>
      <c r="Z6" s="21" t="s">
        <v>37</v>
      </c>
      <c r="AA6" s="21" t="s">
        <v>38</v>
      </c>
    </row>
    <row r="7" spans="1:27" ht="15.75" x14ac:dyDescent="0.25">
      <c r="A7" s="14" t="s">
        <v>39</v>
      </c>
      <c r="B7" s="3"/>
      <c r="C7" s="27">
        <f>2100*B7</f>
        <v>0</v>
      </c>
      <c r="D7" s="4"/>
      <c r="E7" s="28">
        <f>2100*D7</f>
        <v>0</v>
      </c>
      <c r="F7" s="15">
        <f>'22-23'!L11</f>
        <v>0</v>
      </c>
      <c r="G7" s="10">
        <f>2100*F7</f>
        <v>0</v>
      </c>
      <c r="H7" s="16">
        <f>'22-23'!O11</f>
        <v>0</v>
      </c>
      <c r="I7" s="11">
        <f>2100*H7</f>
        <v>0</v>
      </c>
      <c r="J7" s="15"/>
      <c r="K7" s="10">
        <f>2100*J7</f>
        <v>0</v>
      </c>
      <c r="L7" s="16"/>
      <c r="M7" s="11">
        <f>2100*L7</f>
        <v>0</v>
      </c>
      <c r="N7" s="15">
        <f>'22-23'!X11</f>
        <v>0</v>
      </c>
      <c r="O7" s="10">
        <f>2100*N7</f>
        <v>0</v>
      </c>
      <c r="P7" s="16"/>
      <c r="Q7" s="11">
        <f>2100*P7</f>
        <v>0</v>
      </c>
      <c r="R7" s="15"/>
      <c r="S7" s="10">
        <f>2100*R7</f>
        <v>0</v>
      </c>
      <c r="T7" s="16"/>
      <c r="U7" s="11">
        <f>2100*T7</f>
        <v>0</v>
      </c>
      <c r="V7" s="15"/>
      <c r="W7" s="10">
        <f>2100*V7</f>
        <v>0</v>
      </c>
      <c r="X7" s="17"/>
      <c r="Y7" s="11">
        <f>2100*X7</f>
        <v>0</v>
      </c>
      <c r="Z7" s="12">
        <f>B7+D7+F7+H7+J7+L7+N7+P7+R7+T7+V7+X7</f>
        <v>0</v>
      </c>
      <c r="AA7" s="29">
        <f>C7+E7+G7+I7+K7+M7+O7+Q7+S7+U7+W7+Y7</f>
        <v>0</v>
      </c>
    </row>
    <row r="8" spans="1:27" ht="15.75" x14ac:dyDescent="0.25">
      <c r="A8" s="14" t="s">
        <v>40</v>
      </c>
      <c r="B8" s="3"/>
      <c r="C8" s="27">
        <f t="shared" ref="C8:C9" si="0">2100*B8</f>
        <v>0</v>
      </c>
      <c r="D8" s="4"/>
      <c r="E8" s="28">
        <f t="shared" ref="E8:E9" si="1">2100*D8</f>
        <v>0</v>
      </c>
      <c r="F8" s="15"/>
      <c r="G8" s="10">
        <f t="shared" ref="G8:G9" si="2">2100*F8</f>
        <v>0</v>
      </c>
      <c r="H8" s="16"/>
      <c r="I8" s="11">
        <f t="shared" ref="I8:I9" si="3">2100*H8</f>
        <v>0</v>
      </c>
      <c r="J8" s="15"/>
      <c r="K8" s="10">
        <f t="shared" ref="K8:K9" si="4">2100*J8</f>
        <v>0</v>
      </c>
      <c r="L8" s="16"/>
      <c r="M8" s="11">
        <f t="shared" ref="M8:M9" si="5">2100*L8</f>
        <v>0</v>
      </c>
      <c r="N8" s="15"/>
      <c r="O8" s="10">
        <f t="shared" ref="O8:O9" si="6">2100*N8</f>
        <v>0</v>
      </c>
      <c r="P8" s="16"/>
      <c r="Q8" s="11">
        <f t="shared" ref="Q8:Q9" si="7">2100*P8</f>
        <v>0</v>
      </c>
      <c r="R8" s="15"/>
      <c r="S8" s="10">
        <f t="shared" ref="S8:S9" si="8">2100*R8</f>
        <v>0</v>
      </c>
      <c r="T8" s="16"/>
      <c r="U8" s="11">
        <f t="shared" ref="U8:U9" si="9">2100*T8</f>
        <v>0</v>
      </c>
      <c r="V8" s="15"/>
      <c r="W8" s="10">
        <f t="shared" ref="W8:W9" si="10">2100*V8</f>
        <v>0</v>
      </c>
      <c r="X8" s="17"/>
      <c r="Y8" s="11">
        <f t="shared" ref="Y8:Y9" si="11">2100*X8</f>
        <v>0</v>
      </c>
      <c r="Z8" s="12">
        <f t="shared" ref="Z8:Z9" si="12">B8+D8+F8+H8+J8+L8+N8+P8+R8+T8+V8+X8</f>
        <v>0</v>
      </c>
      <c r="AA8" s="29">
        <f t="shared" ref="AA8:AA9" si="13">C8+E8+G8+I8+K8+M8+O8+Q8+S8+U8+W8+Y8</f>
        <v>0</v>
      </c>
    </row>
    <row r="9" spans="1:27" ht="15.75" x14ac:dyDescent="0.25">
      <c r="A9" s="14" t="s">
        <v>41</v>
      </c>
      <c r="B9" s="3"/>
      <c r="C9" s="27">
        <f t="shared" si="0"/>
        <v>0</v>
      </c>
      <c r="D9" s="4"/>
      <c r="E9" s="28">
        <f t="shared" si="1"/>
        <v>0</v>
      </c>
      <c r="F9" s="15"/>
      <c r="G9" s="10">
        <f t="shared" si="2"/>
        <v>0</v>
      </c>
      <c r="H9" s="16"/>
      <c r="I9" s="11">
        <f t="shared" si="3"/>
        <v>0</v>
      </c>
      <c r="J9" s="15"/>
      <c r="K9" s="10">
        <f t="shared" si="4"/>
        <v>0</v>
      </c>
      <c r="L9" s="16"/>
      <c r="M9" s="11">
        <f t="shared" si="5"/>
        <v>0</v>
      </c>
      <c r="N9" s="15"/>
      <c r="O9" s="10">
        <f t="shared" si="6"/>
        <v>0</v>
      </c>
      <c r="P9" s="16"/>
      <c r="Q9" s="11">
        <f t="shared" si="7"/>
        <v>0</v>
      </c>
      <c r="R9" s="15"/>
      <c r="S9" s="10">
        <f t="shared" si="8"/>
        <v>0</v>
      </c>
      <c r="T9" s="16"/>
      <c r="U9" s="11">
        <f t="shared" si="9"/>
        <v>0</v>
      </c>
      <c r="V9" s="15"/>
      <c r="W9" s="10">
        <f t="shared" si="10"/>
        <v>0</v>
      </c>
      <c r="X9" s="17"/>
      <c r="Y9" s="11">
        <f t="shared" si="11"/>
        <v>0</v>
      </c>
      <c r="Z9" s="12">
        <f t="shared" si="12"/>
        <v>0</v>
      </c>
      <c r="AA9" s="29">
        <f t="shared" si="13"/>
        <v>0</v>
      </c>
    </row>
    <row r="10" spans="1:27" ht="15.75" x14ac:dyDescent="0.25">
      <c r="A10" s="18" t="s">
        <v>37</v>
      </c>
      <c r="B10" s="20">
        <f t="shared" ref="B10:AA10" si="14">SUM(B7:B9)</f>
        <v>0</v>
      </c>
      <c r="C10" s="23">
        <f t="shared" si="14"/>
        <v>0</v>
      </c>
      <c r="D10" s="20">
        <f t="shared" si="14"/>
        <v>0</v>
      </c>
      <c r="E10" s="23">
        <f t="shared" si="14"/>
        <v>0</v>
      </c>
      <c r="F10" s="20">
        <f t="shared" si="14"/>
        <v>0</v>
      </c>
      <c r="G10" s="23">
        <f t="shared" si="14"/>
        <v>0</v>
      </c>
      <c r="H10" s="20">
        <f t="shared" si="14"/>
        <v>0</v>
      </c>
      <c r="I10" s="23">
        <f t="shared" si="14"/>
        <v>0</v>
      </c>
      <c r="J10" s="20">
        <f t="shared" si="14"/>
        <v>0</v>
      </c>
      <c r="K10" s="23">
        <f t="shared" si="14"/>
        <v>0</v>
      </c>
      <c r="L10" s="20">
        <f t="shared" si="14"/>
        <v>0</v>
      </c>
      <c r="M10" s="23">
        <f t="shared" si="14"/>
        <v>0</v>
      </c>
      <c r="N10" s="20">
        <f t="shared" si="14"/>
        <v>0</v>
      </c>
      <c r="O10" s="23">
        <f t="shared" si="14"/>
        <v>0</v>
      </c>
      <c r="P10" s="20">
        <f t="shared" si="14"/>
        <v>0</v>
      </c>
      <c r="Q10" s="23">
        <f t="shared" si="14"/>
        <v>0</v>
      </c>
      <c r="R10" s="20">
        <f t="shared" si="14"/>
        <v>0</v>
      </c>
      <c r="S10" s="23">
        <f t="shared" si="14"/>
        <v>0</v>
      </c>
      <c r="T10" s="20">
        <f t="shared" si="14"/>
        <v>0</v>
      </c>
      <c r="U10" s="23">
        <f t="shared" si="14"/>
        <v>0</v>
      </c>
      <c r="V10" s="20">
        <f t="shared" si="14"/>
        <v>0</v>
      </c>
      <c r="W10" s="23">
        <f t="shared" si="14"/>
        <v>0</v>
      </c>
      <c r="X10" s="20">
        <f t="shared" si="14"/>
        <v>0</v>
      </c>
      <c r="Y10" s="23">
        <f t="shared" si="14"/>
        <v>0</v>
      </c>
      <c r="Z10" s="19">
        <f t="shared" si="14"/>
        <v>0</v>
      </c>
      <c r="AA10" s="24">
        <f t="shared" si="14"/>
        <v>0</v>
      </c>
    </row>
    <row r="12" spans="1:27" ht="15.75" x14ac:dyDescent="0.25">
      <c r="A12" s="61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9"/>
    </row>
    <row r="13" spans="1:27" x14ac:dyDescent="0.25">
      <c r="A13" s="8"/>
    </row>
  </sheetData>
  <mergeCells count="16">
    <mergeCell ref="X5:Y5"/>
    <mergeCell ref="A1:Z1"/>
    <mergeCell ref="A2:Z2"/>
    <mergeCell ref="A3:Z3"/>
    <mergeCell ref="A12:N12"/>
    <mergeCell ref="L5:M5"/>
    <mergeCell ref="N5:O5"/>
    <mergeCell ref="P5:Q5"/>
    <mergeCell ref="R5:S5"/>
    <mergeCell ref="T5:U5"/>
    <mergeCell ref="V5:W5"/>
    <mergeCell ref="B5:C5"/>
    <mergeCell ref="D5:E5"/>
    <mergeCell ref="F5:G5"/>
    <mergeCell ref="H5:I5"/>
    <mergeCell ref="J5:K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22-23</vt:lpstr>
      <vt:lpstr>Mensual 22-23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MARIA</dc:creator>
  <cp:lastModifiedBy>FRANCISCO EMILIANO CASTRO SANCHEZ</cp:lastModifiedBy>
  <cp:lastPrinted>2025-01-22T21:33:47Z</cp:lastPrinted>
  <dcterms:created xsi:type="dcterms:W3CDTF">2022-12-13T19:53:13Z</dcterms:created>
  <dcterms:modified xsi:type="dcterms:W3CDTF">2026-06-08T08:52:09Z</dcterms:modified>
</cp:coreProperties>
</file>